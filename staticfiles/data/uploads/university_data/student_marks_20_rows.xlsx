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ik Rashed Shariff\OneDrive\Desktop\DATA_ANALYST\"/>
    </mc:Choice>
  </mc:AlternateContent>
  <xr:revisionPtr revIDLastSave="0" documentId="13_ncr:1_{788E8706-0BE1-49B9-9C12-BDD9B78B2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 a="1"/>
  <c r="M2" i="1" s="1"/>
  <c r="L2" i="1"/>
  <c r="M3" i="1" a="1"/>
  <c r="M3" i="1" s="1"/>
  <c r="M4" i="1" a="1"/>
  <c r="M4" i="1"/>
  <c r="M5" i="1" a="1"/>
  <c r="M5" i="1" s="1"/>
  <c r="M6" i="1" a="1"/>
  <c r="M6" i="1"/>
  <c r="M7" i="1" a="1"/>
  <c r="M7" i="1" s="1"/>
  <c r="M8" i="1" a="1"/>
  <c r="M8" i="1"/>
  <c r="M9" i="1" a="1"/>
  <c r="M9" i="1" s="1"/>
  <c r="M10" i="1" a="1"/>
  <c r="M10" i="1"/>
  <c r="M11" i="1" a="1"/>
  <c r="M11" i="1" s="1"/>
  <c r="M12" i="1" a="1"/>
  <c r="M12" i="1"/>
  <c r="M13" i="1" a="1"/>
  <c r="M13" i="1" s="1"/>
  <c r="M14" i="1" a="1"/>
  <c r="M14" i="1"/>
  <c r="M15" i="1" a="1"/>
  <c r="M15" i="1" s="1"/>
  <c r="M16" i="1" a="1"/>
  <c r="M16" i="1"/>
  <c r="M17" i="1" a="1"/>
  <c r="M17" i="1" s="1"/>
  <c r="M18" i="1" a="1"/>
  <c r="M18" i="1"/>
  <c r="M19" i="1" a="1"/>
  <c r="M19" i="1" s="1"/>
  <c r="M20" i="1" a="1"/>
  <c r="M20" i="1"/>
  <c r="M21" i="1" a="1"/>
  <c r="M21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<sst xmlns="http://schemas.openxmlformats.org/spreadsheetml/2006/main" count="51" uniqueCount="37">
  <si>
    <t>Name-Role</t>
  </si>
  <si>
    <t>SUB1</t>
  </si>
  <si>
    <t>SUB2</t>
  </si>
  <si>
    <t>SUB3</t>
  </si>
  <si>
    <t>SUB4</t>
  </si>
  <si>
    <t>TOTAL</t>
  </si>
  <si>
    <t>Shariff-DataAnalyst</t>
  </si>
  <si>
    <t>Balaji-ML</t>
  </si>
  <si>
    <t>Shavali-NLP</t>
  </si>
  <si>
    <t>Arjun-DL</t>
  </si>
  <si>
    <t>Rahul-AI</t>
  </si>
  <si>
    <t>Karthik-DS</t>
  </si>
  <si>
    <t>Priya-AI</t>
  </si>
  <si>
    <t>Amit-NLP</t>
  </si>
  <si>
    <t>Suresh-DL</t>
  </si>
  <si>
    <t>Pooja-DS</t>
  </si>
  <si>
    <t>Vikram-ML</t>
  </si>
  <si>
    <t>Anjali-AI</t>
  </si>
  <si>
    <t>Rohit-NLP</t>
  </si>
  <si>
    <t>Sneha-DL</t>
  </si>
  <si>
    <t>Manoj-DS</t>
  </si>
  <si>
    <t>Divya-ML</t>
  </si>
  <si>
    <t>Akash-AI</t>
  </si>
  <si>
    <t>Nithin-NLP</t>
  </si>
  <si>
    <t>Meera-DL</t>
  </si>
  <si>
    <t>DataAnalyst</t>
  </si>
  <si>
    <t>ML</t>
  </si>
  <si>
    <t>NLP</t>
  </si>
  <si>
    <t>DL</t>
  </si>
  <si>
    <t>AI</t>
  </si>
  <si>
    <t>DS</t>
  </si>
  <si>
    <t>Nehaa-ML</t>
  </si>
  <si>
    <t>PHON.no</t>
  </si>
  <si>
    <t>abcdefhhin</t>
  </si>
  <si>
    <t>PASS/FAIL</t>
  </si>
  <si>
    <t>FAIL</t>
  </si>
  <si>
    <t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</si>
</sst>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107" zoomScaleNormal="107" workbookViewId="0">
      <selection activeCell="M3" sqref="M3"/>
    </sheetView>
  </sheetViews>
  <sheetFormatPr defaultRowHeight="14.4" x14ac:dyDescent="0.3"/>
  <cols>
    <col min="1" max="1" width="16" customWidth="1"/>
    <col min="7" max="7" width="16.5546875" customWidth="1"/>
    <col min="9" max="9" width="12.88671875" customWidth="1"/>
    <col min="10" max="10" width="12.6640625" customWidth="1"/>
    <col min="11" max="11" width="11.33203125" customWidth="1"/>
    <col min="12" max="12" width="13.88671875" customWidth="1"/>
    <col min="13" max="13" width="14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32</v>
      </c>
      <c r="K1" t="s">
        <v>34</v>
      </c>
      <c r="L1" t="s">
        <v>36</v>
      </c>
    </row>
    <row r="2" spans="1:13" x14ac:dyDescent="0.3">
      <c r="A2" t="s">
        <v>6</v>
      </c>
      <c r="B2">
        <v>60</v>
      </c>
      <c r="C2">
        <v>63</v>
      </c>
      <c r="D2">
        <v>18</v>
      </c>
      <c r="E2">
        <v>90</v>
      </c>
      <c r="F2">
        <v>231</v>
      </c>
      <c r="G2" t="s">
        <v>25</v>
      </c>
      <c r="H2" t="str">
        <f>LEFT(A2,FIND("-",A2)-1)</f>
        <v>Shariff</v>
      </c>
      <c r="I2" t="str">
        <f>RIGHT(A2, LEN(A2) - FIND("-", A2))</f>
        <v>DataAnalyst</v>
      </c>
      <c r="J2" t="s">
        <v>33</v>
      </c>
      <c r="K2" t="str">
        <f>IF(D2&gt;=35,"PASS","FAIL")</f>
        <v>FAIL</v>
      </c>
      <c r="L2" t="str">
        <f>IF(AND(D2&gt;=80,D2&lt;=95),D2+5,
IF(AND(D2&gt;=35,D2&lt;=55),D2+10,
IF(D2&lt;35,"SORRY NO USE!",D2+10%)))</f>
        <v>SORRY NO USE!</v>
      </c>
      <c r="M2" t="str" cm="1">
        <f t="array" ref="M2">_xlfn.IFS(
AND(D2&gt;=80,D2&lt;=95), D2+5,
AND(D2&gt;=35,D2&lt;=55), D2+10,
D2&lt;35, "SORRY NO USE!"
)</f>
        <v>SORRY NO USE!</v>
      </c>
    </row>
    <row r="3" spans="1:13" x14ac:dyDescent="0.3">
      <c r="A3" t="s">
        <v>7</v>
      </c>
      <c r="B3">
        <v>97</v>
      </c>
      <c r="C3">
        <v>72</v>
      </c>
      <c r="D3">
        <v>57</v>
      </c>
      <c r="E3">
        <v>92</v>
      </c>
      <c r="F3">
        <v>318</v>
      </c>
      <c r="G3" t="s">
        <v>26</v>
      </c>
      <c r="H3" t="str">
        <f t="shared" ref="H3:H21" si="0">LEFT(A3,FIND("-",A3)-1)</f>
        <v>Balaji</v>
      </c>
      <c r="I3" t="str">
        <f t="shared" ref="I3:I21" si="1">RIGHT(A3, LEN(A3) - FIND("-", A3))</f>
        <v>ML</v>
      </c>
      <c r="J3">
        <v>1234567890</v>
      </c>
      <c r="K3" t="str">
        <f t="shared" ref="K3:K21" si="2">IF(D3&gt;=35,"PASS","FAIL")</f>
        <v>PASS</v>
      </c>
      <c r="L3">
        <f t="shared" ref="L3:L21" si="3">IF(AND(D3&gt;=80,D3&lt;=95),D3+5,
IF(AND(D3&gt;=35,D3&lt;=55),D3+10,
IF(D3&lt;35,"SORRY NO USE!",D3+10%)))</f>
        <v>57.1</v>
      </c>
      <c r="M3" t="e" cm="1">
        <f t="array" ref="M3">_xlfn.IFS(
AND(D3&gt;=80,D3&lt;=95), D3+5,
AND(D3&gt;=35,D3&lt;=55), D3+10,
D3&lt;35, "SORRY NO USE!"
)</f>
        <v>#N/A</v>
      </c>
    </row>
    <row r="4" spans="1:13" x14ac:dyDescent="0.3">
      <c r="A4" t="s">
        <v>8</v>
      </c>
      <c r="B4">
        <v>39</v>
      </c>
      <c r="C4">
        <v>64</v>
      </c>
      <c r="D4">
        <v>48</v>
      </c>
      <c r="E4">
        <v>30</v>
      </c>
      <c r="F4">
        <v>181</v>
      </c>
      <c r="G4" t="s">
        <v>27</v>
      </c>
      <c r="H4" t="str">
        <f t="shared" si="0"/>
        <v>Shavali</v>
      </c>
      <c r="I4" t="str">
        <f t="shared" si="1"/>
        <v>NLP</v>
      </c>
      <c r="K4" t="str">
        <f t="shared" si="2"/>
        <v>PASS</v>
      </c>
      <c r="L4">
        <f t="shared" si="3"/>
        <v>58</v>
      </c>
      <c r="M4" cm="1">
        <f t="array" ref="M4">_xlfn.IFS(
AND(D4&gt;=80,D4&lt;=95), D4+5,
AND(D4&gt;=35,D4&lt;=55), D4+10,
D4&lt;35, "SORRY NO USE!"
)</f>
        <v>58</v>
      </c>
    </row>
    <row r="5" spans="1:13" x14ac:dyDescent="0.3">
      <c r="A5" t="s">
        <v>9</v>
      </c>
      <c r="B5">
        <v>98</v>
      </c>
      <c r="C5">
        <v>18</v>
      </c>
      <c r="D5">
        <v>51</v>
      </c>
      <c r="E5">
        <v>40</v>
      </c>
      <c r="F5">
        <v>207</v>
      </c>
      <c r="G5" t="s">
        <v>28</v>
      </c>
      <c r="H5" t="str">
        <f t="shared" si="0"/>
        <v>Arjun</v>
      </c>
      <c r="I5" t="str">
        <f t="shared" si="1"/>
        <v>DL</v>
      </c>
      <c r="K5" t="str">
        <f t="shared" si="2"/>
        <v>PASS</v>
      </c>
      <c r="L5">
        <f t="shared" si="3"/>
        <v>61</v>
      </c>
      <c r="M5" cm="1">
        <f t="array" ref="M5">_xlfn.IFS(
AND(D5&gt;=80,D5&lt;=95), D5+5,
AND(D5&gt;=35,D5&lt;=55), D5+10,
D5&lt;35, "SORRY NO USE!"
)</f>
        <v>61</v>
      </c>
    </row>
    <row r="6" spans="1:13" x14ac:dyDescent="0.3">
      <c r="A6" t="s">
        <v>10</v>
      </c>
      <c r="B6">
        <v>75</v>
      </c>
      <c r="C6">
        <v>62</v>
      </c>
      <c r="D6">
        <v>40</v>
      </c>
      <c r="E6">
        <v>58</v>
      </c>
      <c r="F6">
        <v>235</v>
      </c>
      <c r="G6" t="s">
        <v>29</v>
      </c>
      <c r="H6" t="str">
        <f t="shared" si="0"/>
        <v>Rahul</v>
      </c>
      <c r="I6" t="str">
        <f t="shared" si="1"/>
        <v>AI</v>
      </c>
      <c r="K6" t="str">
        <f t="shared" si="2"/>
        <v>PASS</v>
      </c>
      <c r="L6">
        <f t="shared" si="3"/>
        <v>50</v>
      </c>
      <c r="M6" cm="1">
        <f t="array" ref="M6">_xlfn.IFS(
AND(D6&gt;=80,D6&lt;=95), D6+5,
AND(D6&gt;=35,D6&lt;=55), D6+10,
D6&lt;35, "SORRY NO USE!"
)</f>
        <v>50</v>
      </c>
    </row>
    <row r="7" spans="1:13" x14ac:dyDescent="0.3">
      <c r="A7" t="s">
        <v>11</v>
      </c>
      <c r="B7">
        <v>91</v>
      </c>
      <c r="C7">
        <v>36</v>
      </c>
      <c r="D7">
        <v>51</v>
      </c>
      <c r="E7">
        <v>34</v>
      </c>
      <c r="F7">
        <v>212</v>
      </c>
      <c r="G7" t="s">
        <v>30</v>
      </c>
      <c r="H7" t="str">
        <f t="shared" si="0"/>
        <v>Karthik</v>
      </c>
      <c r="I7" t="str">
        <f t="shared" si="1"/>
        <v>DS</v>
      </c>
      <c r="K7" t="str">
        <f t="shared" si="2"/>
        <v>PASS</v>
      </c>
      <c r="L7">
        <f t="shared" si="3"/>
        <v>61</v>
      </c>
      <c r="M7" cm="1">
        <f t="array" ref="M7">_xlfn.IFS(
AND(D7&gt;=80,D7&lt;=95), D7+5,
AND(D7&gt;=35,D7&lt;=55), D7+10,
D7&lt;35, "SORRY NO USE!"
)</f>
        <v>61</v>
      </c>
    </row>
    <row r="8" spans="1:13" x14ac:dyDescent="0.3">
      <c r="A8" t="s">
        <v>31</v>
      </c>
      <c r="B8">
        <v>64</v>
      </c>
      <c r="C8">
        <v>69</v>
      </c>
      <c r="D8">
        <v>23</v>
      </c>
      <c r="E8">
        <v>63</v>
      </c>
      <c r="F8">
        <v>219</v>
      </c>
      <c r="G8" t="s">
        <v>26</v>
      </c>
      <c r="H8" t="str">
        <f t="shared" si="0"/>
        <v>Nehaa</v>
      </c>
      <c r="I8" t="str">
        <f t="shared" si="1"/>
        <v>ML</v>
      </c>
      <c r="K8" t="str">
        <f t="shared" si="2"/>
        <v>FAIL</v>
      </c>
      <c r="L8" t="str">
        <f t="shared" si="3"/>
        <v>SORRY NO USE!</v>
      </c>
      <c r="M8" t="str" cm="1">
        <f t="array" ref="M8">_xlfn.IFS(
AND(D8&gt;=80,D8&lt;=95), D8+5,
AND(D8&gt;=35,D8&lt;=55), D8+10,
D8&lt;35, "SORRY NO USE!"
)</f>
        <v>SORRY NO USE!</v>
      </c>
    </row>
    <row r="9" spans="1:13" x14ac:dyDescent="0.3">
      <c r="A9" t="s">
        <v>12</v>
      </c>
      <c r="B9">
        <v>21</v>
      </c>
      <c r="C9">
        <v>59</v>
      </c>
      <c r="D9">
        <v>26</v>
      </c>
      <c r="E9">
        <v>30</v>
      </c>
      <c r="F9">
        <v>136</v>
      </c>
      <c r="G9" t="s">
        <v>29</v>
      </c>
      <c r="H9" t="str">
        <f t="shared" si="0"/>
        <v>Priya</v>
      </c>
      <c r="I9" t="str">
        <f t="shared" si="1"/>
        <v>AI</v>
      </c>
      <c r="K9" t="str">
        <f t="shared" si="2"/>
        <v>FAIL</v>
      </c>
      <c r="L9" t="str">
        <f t="shared" si="3"/>
        <v>SORRY NO USE!</v>
      </c>
      <c r="M9" t="str" cm="1">
        <f t="array" ref="M9">_xlfn.IFS(
AND(D9&gt;=80,D9&lt;=95), D9+5,
AND(D9&gt;=35,D9&lt;=55), D9+10,
D9&lt;35, "SORRY NO USE!"
)</f>
        <v>SORRY NO USE!</v>
      </c>
    </row>
    <row r="10" spans="1:13" x14ac:dyDescent="0.3">
      <c r="A10" t="s">
        <v>13</v>
      </c>
      <c r="B10">
        <v>48</v>
      </c>
      <c r="C10">
        <v>98</v>
      </c>
      <c r="D10">
        <v>13</v>
      </c>
      <c r="E10">
        <v>23</v>
      </c>
      <c r="F10">
        <v>182</v>
      </c>
      <c r="G10" t="s">
        <v>27</v>
      </c>
      <c r="H10" t="str">
        <f t="shared" si="0"/>
        <v>Amit</v>
      </c>
      <c r="I10" t="str">
        <f t="shared" si="1"/>
        <v>NLP</v>
      </c>
      <c r="K10" t="str">
        <f t="shared" si="2"/>
        <v>FAIL</v>
      </c>
      <c r="L10" t="str">
        <f t="shared" si="3"/>
        <v>SORRY NO USE!</v>
      </c>
      <c r="M10" t="str" cm="1">
        <f t="array" ref="M10">_xlfn.IFS(
AND(D10&gt;=80,D10&lt;=95), D10+5,
AND(D10&gt;=35,D10&lt;=55), D10+10,
D10&lt;35, "SORRY NO USE!"
)</f>
        <v>SORRY NO USE!</v>
      </c>
    </row>
    <row r="11" spans="1:13" x14ac:dyDescent="0.3">
      <c r="A11" t="s">
        <v>14</v>
      </c>
      <c r="B11">
        <v>57</v>
      </c>
      <c r="C11">
        <v>19</v>
      </c>
      <c r="D11">
        <v>64</v>
      </c>
      <c r="E11">
        <v>74</v>
      </c>
      <c r="F11">
        <v>214</v>
      </c>
      <c r="G11" t="s">
        <v>28</v>
      </c>
      <c r="H11" t="str">
        <f t="shared" si="0"/>
        <v>Suresh</v>
      </c>
      <c r="I11" t="str">
        <f t="shared" si="1"/>
        <v>DL</v>
      </c>
      <c r="K11" t="str">
        <f t="shared" si="2"/>
        <v>PASS</v>
      </c>
      <c r="L11">
        <f t="shared" si="3"/>
        <v>64.099999999999994</v>
      </c>
      <c r="M11" t="e" cm="1">
        <f t="array" ref="M11">_xlfn.IFS(
AND(D11&gt;=80,D11&lt;=95), D11+5,
AND(D11&gt;=35,D11&lt;=55), D11+10,
D11&lt;35, "SORRY NO USE!"
)</f>
        <v>#N/A</v>
      </c>
    </row>
    <row r="12" spans="1:13" x14ac:dyDescent="0.3">
      <c r="A12" t="s">
        <v>15</v>
      </c>
      <c r="B12">
        <v>49</v>
      </c>
      <c r="C12">
        <v>82</v>
      </c>
      <c r="D12">
        <v>60</v>
      </c>
      <c r="E12">
        <v>28</v>
      </c>
      <c r="F12">
        <v>219</v>
      </c>
      <c r="G12" t="s">
        <v>30</v>
      </c>
      <c r="H12" t="str">
        <f t="shared" si="0"/>
        <v>Pooja</v>
      </c>
      <c r="I12" t="str">
        <f t="shared" si="1"/>
        <v>DS</v>
      </c>
      <c r="K12" t="str">
        <f t="shared" si="2"/>
        <v>PASS</v>
      </c>
      <c r="L12">
        <f t="shared" si="3"/>
        <v>60.1</v>
      </c>
      <c r="M12" t="e" cm="1">
        <f t="array" ref="M12">_xlfn.IFS(
AND(D12&gt;=80,D12&lt;=95), D12+5,
AND(D12&gt;=35,D12&lt;=55), D12+10,
D12&lt;35, "SORRY NO USE!"
)</f>
        <v>#N/A</v>
      </c>
    </row>
    <row r="13" spans="1:13" x14ac:dyDescent="0.3">
      <c r="A13" t="s">
        <v>16</v>
      </c>
      <c r="B13">
        <v>18</v>
      </c>
      <c r="C13">
        <v>81</v>
      </c>
      <c r="D13">
        <v>94</v>
      </c>
      <c r="E13">
        <v>51</v>
      </c>
      <c r="F13">
        <v>244</v>
      </c>
      <c r="G13" t="s">
        <v>26</v>
      </c>
      <c r="H13" t="str">
        <f t="shared" si="0"/>
        <v>Vikram</v>
      </c>
      <c r="I13" t="str">
        <f t="shared" si="1"/>
        <v>ML</v>
      </c>
      <c r="K13" t="str">
        <f t="shared" si="2"/>
        <v>PASS</v>
      </c>
      <c r="L13">
        <f t="shared" si="3"/>
        <v>99</v>
      </c>
      <c r="M13" cm="1">
        <f t="array" ref="M13">_xlfn.IFS(
AND(D13&gt;=80,D13&lt;=95), D13+5,
AND(D13&gt;=35,D13&lt;=55), D13+10,
D13&lt;35, "SORRY NO USE!"
)</f>
        <v>99</v>
      </c>
    </row>
    <row r="14" spans="1:13" x14ac:dyDescent="0.3">
      <c r="A14" t="s">
        <v>17</v>
      </c>
      <c r="B14">
        <v>38</v>
      </c>
      <c r="C14">
        <v>51</v>
      </c>
      <c r="D14">
        <v>80</v>
      </c>
      <c r="E14">
        <v>65</v>
      </c>
      <c r="F14">
        <v>234</v>
      </c>
      <c r="G14" t="s">
        <v>29</v>
      </c>
      <c r="H14" t="str">
        <f t="shared" si="0"/>
        <v>Anjali</v>
      </c>
      <c r="I14" t="str">
        <f t="shared" si="1"/>
        <v>AI</v>
      </c>
      <c r="K14" t="str">
        <f t="shared" si="2"/>
        <v>PASS</v>
      </c>
      <c r="L14">
        <f t="shared" si="3"/>
        <v>85</v>
      </c>
      <c r="M14" cm="1">
        <f t="array" ref="M14">_xlfn.IFS(
AND(D14&gt;=80,D14&lt;=95), D14+5,
AND(D14&gt;=35,D14&lt;=55), D14+10,
D14&lt;35, "SORRY NO USE!"
)</f>
        <v>85</v>
      </c>
    </row>
    <row r="15" spans="1:13" x14ac:dyDescent="0.3">
      <c r="A15" t="s">
        <v>18</v>
      </c>
      <c r="B15">
        <v>41</v>
      </c>
      <c r="C15">
        <v>12</v>
      </c>
      <c r="D15">
        <v>24</v>
      </c>
      <c r="E15">
        <v>89</v>
      </c>
      <c r="F15">
        <v>166</v>
      </c>
      <c r="G15" t="s">
        <v>27</v>
      </c>
      <c r="H15" t="str">
        <f t="shared" si="0"/>
        <v>Rohit</v>
      </c>
      <c r="I15" t="str">
        <f t="shared" si="1"/>
        <v>NLP</v>
      </c>
      <c r="K15" t="str">
        <f t="shared" si="2"/>
        <v>FAIL</v>
      </c>
      <c r="L15" t="str">
        <f t="shared" si="3"/>
        <v>SORRY NO USE!</v>
      </c>
      <c r="M15" t="str" cm="1">
        <f t="array" ref="M15">_xlfn.IFS(
AND(D15&gt;=80,D15&lt;=95), D15+5,
AND(D15&gt;=35,D15&lt;=55), D15+10,
D15&lt;35, "SORRY NO USE!"
)</f>
        <v>SORRY NO USE!</v>
      </c>
    </row>
    <row r="16" spans="1:13" x14ac:dyDescent="0.3">
      <c r="A16" t="s">
        <v>19</v>
      </c>
      <c r="B16">
        <v>39</v>
      </c>
      <c r="C16">
        <v>27</v>
      </c>
      <c r="D16">
        <v>25</v>
      </c>
      <c r="E16">
        <v>91</v>
      </c>
      <c r="F16">
        <v>182</v>
      </c>
      <c r="G16" t="s">
        <v>28</v>
      </c>
      <c r="H16" t="str">
        <f t="shared" si="0"/>
        <v>Sneha</v>
      </c>
      <c r="I16" t="str">
        <f t="shared" si="1"/>
        <v>DL</v>
      </c>
      <c r="K16" t="str">
        <f t="shared" si="2"/>
        <v>FAIL</v>
      </c>
      <c r="L16" t="str">
        <f t="shared" si="3"/>
        <v>SORRY NO USE!</v>
      </c>
      <c r="M16" t="str" cm="1">
        <f t="array" ref="M16">_xlfn.IFS(
AND(D16&gt;=80,D16&lt;=95), D16+5,
AND(D16&gt;=35,D16&lt;=55), D16+10,
D16&lt;35, "SORRY NO USE!"
)</f>
        <v>SORRY NO USE!</v>
      </c>
    </row>
    <row r="17" spans="1:13" x14ac:dyDescent="0.3">
      <c r="A17" t="s">
        <v>20</v>
      </c>
      <c r="B17">
        <v>100</v>
      </c>
      <c r="C17">
        <v>28</v>
      </c>
      <c r="D17">
        <v>80</v>
      </c>
      <c r="E17">
        <v>84</v>
      </c>
      <c r="F17">
        <v>292</v>
      </c>
      <c r="G17" t="s">
        <v>30</v>
      </c>
      <c r="H17" t="str">
        <f t="shared" si="0"/>
        <v>Manoj</v>
      </c>
      <c r="I17" t="str">
        <f t="shared" si="1"/>
        <v>DS</v>
      </c>
      <c r="K17" t="str">
        <f t="shared" si="2"/>
        <v>PASS</v>
      </c>
      <c r="L17">
        <f t="shared" si="3"/>
        <v>85</v>
      </c>
      <c r="M17" cm="1">
        <f t="array" ref="M17">_xlfn.IFS(
AND(D17&gt;=80,D17&lt;=95), D17+5,
AND(D17&gt;=35,D17&lt;=55), D17+10,
D17&lt;35, "SORRY NO USE!"
)</f>
        <v>85</v>
      </c>
    </row>
    <row r="18" spans="1:13" x14ac:dyDescent="0.3">
      <c r="A18" t="s">
        <v>21</v>
      </c>
      <c r="B18">
        <v>27</v>
      </c>
      <c r="C18">
        <v>60</v>
      </c>
      <c r="D18">
        <v>88</v>
      </c>
      <c r="E18">
        <v>32</v>
      </c>
      <c r="F18">
        <v>207</v>
      </c>
      <c r="G18" t="s">
        <v>26</v>
      </c>
      <c r="H18" t="str">
        <f t="shared" si="0"/>
        <v>Divya</v>
      </c>
      <c r="I18" t="str">
        <f t="shared" si="1"/>
        <v>ML</v>
      </c>
      <c r="K18" t="str">
        <f t="shared" si="2"/>
        <v>PASS</v>
      </c>
      <c r="L18">
        <f t="shared" si="3"/>
        <v>93</v>
      </c>
      <c r="M18" cm="1">
        <f t="array" ref="M18">_xlfn.IFS(
AND(D18&gt;=80,D18&lt;=95), D18+5,
AND(D18&gt;=35,D18&lt;=55), D18+10,
D18&lt;35, "SORRY NO USE!"
)</f>
        <v>93</v>
      </c>
    </row>
    <row r="19" spans="1:13" x14ac:dyDescent="0.3">
      <c r="A19" t="s">
        <v>22</v>
      </c>
      <c r="B19">
        <v>14</v>
      </c>
      <c r="C19">
        <v>71</v>
      </c>
      <c r="D19">
        <v>92</v>
      </c>
      <c r="E19">
        <v>60</v>
      </c>
      <c r="F19">
        <v>237</v>
      </c>
      <c r="G19" t="s">
        <v>29</v>
      </c>
      <c r="H19" t="str">
        <f t="shared" si="0"/>
        <v>Akash</v>
      </c>
      <c r="I19" t="str">
        <f t="shared" si="1"/>
        <v>AI</v>
      </c>
      <c r="K19" t="str">
        <f t="shared" si="2"/>
        <v>PASS</v>
      </c>
      <c r="L19">
        <f t="shared" si="3"/>
        <v>97</v>
      </c>
      <c r="M19" cm="1">
        <f t="array" ref="M19">_xlfn.IFS(
AND(D19&gt;=80,D19&lt;=95), D19+5,
AND(D19&gt;=35,D19&lt;=55), D19+10,
D19&lt;35, "SORRY NO USE!"
)</f>
        <v>97</v>
      </c>
    </row>
    <row r="20" spans="1:13" x14ac:dyDescent="0.3">
      <c r="A20" t="s">
        <v>23</v>
      </c>
      <c r="B20">
        <v>92</v>
      </c>
      <c r="C20">
        <v>76</v>
      </c>
      <c r="D20">
        <v>13</v>
      </c>
      <c r="E20">
        <v>75</v>
      </c>
      <c r="F20">
        <v>256</v>
      </c>
      <c r="G20" t="s">
        <v>27</v>
      </c>
      <c r="H20" t="str">
        <f t="shared" si="0"/>
        <v>Nithin</v>
      </c>
      <c r="I20" t="str">
        <f t="shared" si="1"/>
        <v>NLP</v>
      </c>
      <c r="K20" t="str">
        <f t="shared" si="2"/>
        <v>FAIL</v>
      </c>
      <c r="L20" t="str">
        <f t="shared" si="3"/>
        <v>SORRY NO USE!</v>
      </c>
      <c r="M20" t="str" cm="1">
        <f t="array" ref="M20">_xlfn.IFS(
AND(D20&gt;=80,D20&lt;=95), D20+5,
AND(D20&gt;=35,D20&lt;=55), D20+10,
D20&lt;35, "SORRY NO USE!"
)</f>
        <v>SORRY NO USE!</v>
      </c>
    </row>
    <row r="21" spans="1:13" x14ac:dyDescent="0.3">
      <c r="A21" t="s">
        <v>24</v>
      </c>
      <c r="B21">
        <v>11</v>
      </c>
      <c r="C21">
        <v>80</v>
      </c>
      <c r="D21">
        <v>51</v>
      </c>
      <c r="E21">
        <v>98</v>
      </c>
      <c r="F21">
        <v>240</v>
      </c>
      <c r="G21" t="s">
        <v>28</v>
      </c>
      <c r="H21" t="str">
        <f t="shared" si="0"/>
        <v>Meera</v>
      </c>
      <c r="I21" t="str">
        <f t="shared" si="1"/>
        <v>DL</v>
      </c>
      <c r="K21" t="str">
        <f t="shared" si="2"/>
        <v>PASS</v>
      </c>
      <c r="L21">
        <f t="shared" si="3"/>
        <v>61</v>
      </c>
      <c r="M21" cm="1">
        <f t="array" ref="M21">_xlfn.IFS(
AND(D21&gt;=80,D21&lt;=95), D21+5,
AND(D21&gt;=35,D21&lt;=55), D21+10,
D21&lt;35, "SORRY NO USE!"
)</f>
        <v>61</v>
      </c>
    </row>
    <row r="25" spans="1:13" x14ac:dyDescent="0.3">
      <c r="F25" t="s">
        <v>35</v>
      </c>
    </row>
  </sheetData>
  <conditionalFormatting sqref="A1:F21">
    <cfRule type="expression" dxfId="4" priority="4">
      <formula>$E2&gt;=92</formula>
    </cfRule>
    <cfRule type="expression" dxfId="3" priority="9">
      <formula>"$E1=&gt;90"</formula>
    </cfRule>
  </conditionalFormatting>
  <conditionalFormatting sqref="A2:F21">
    <cfRule type="expression" dxfId="2" priority="3">
      <formula>$E2&gt;=90</formula>
    </cfRule>
  </conditionalFormatting>
  <conditionalFormatting sqref="K2:K21">
    <cfRule type="expression" dxfId="1" priority="1">
      <formula>$K2=$F$25</formula>
    </cfRule>
    <cfRule type="expression" dxfId="0" priority="2">
      <formula>$K2="FAIIL"</formula>
    </cfRule>
  </conditionalFormatting>
  <dataValidations count="1">
    <dataValidation type="textLength" allowBlank="1" showInputMessage="1" showErrorMessage="1" errorTitle="OOy!" error="only 10 numbers ra swami" sqref="J1:J1048576" xr:uid="{BCC3808C-E42B-4CC9-8193-F1C3752FD1C1}">
      <formula1>7</formula1>
      <formula2>10</formula2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F5CC9CA8-5FC7-42C0-B6C0-0917F4C1363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E1:E21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rashed shariff</cp:lastModifiedBy>
  <dcterms:created xsi:type="dcterms:W3CDTF">2025-12-15T02:04:13Z</dcterms:created>
  <dcterms:modified xsi:type="dcterms:W3CDTF">2025-12-20T03:26:50Z</dcterms:modified>
</cp:coreProperties>
</file>